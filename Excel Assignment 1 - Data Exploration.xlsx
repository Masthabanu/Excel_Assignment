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sth\Downloads\"/>
    </mc:Choice>
  </mc:AlternateContent>
  <xr:revisionPtr revIDLastSave="0" documentId="13_ncr:1_{970CC596-F625-429B-A199-334CD3B7E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  <sheet name="Instru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2" l="1"/>
  <c r="I2" i="2"/>
  <c r="J2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C42" i="2"/>
  <c r="B3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B42" i="2"/>
  <c r="C39" i="2"/>
  <c r="B39" i="2"/>
  <c r="D36" i="2"/>
  <c r="C36" i="2"/>
</calcChain>
</file>

<file path=xl/sharedStrings.xml><?xml version="1.0" encoding="utf-8"?>
<sst xmlns="http://schemas.openxmlformats.org/spreadsheetml/2006/main" count="165" uniqueCount="124">
  <si>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</si>
  <si>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</si>
  <si>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</si>
  <si>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</si>
  <si>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</si>
  <si>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</si>
  <si>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</si>
  <si>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</si>
  <si>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</si>
  <si>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</si>
  <si>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</si>
  <si>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</si>
  <si>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</si>
  <si>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</si>
  <si>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</si>
  <si>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</si>
  <si>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</si>
  <si>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</si>
  <si>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</si>
  <si>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</si>
  <si>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</si>
  <si>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</si>
  <si>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</si>
  <si>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</si>
  <si>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</si>
  <si>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</si>
  <si>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</si>
  <si>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</si>
  <si>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</si>
  <si>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</si>
  <si>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</si>
  <si>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</si>
  <si>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</si>
  <si>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</si>
  <si>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</si>
  <si>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</si>
  <si>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</si>
  <si>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</si>
  <si>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</si>
  <si>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</si>
  <si>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</si>
  <si>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</si>
  <si>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</si>
  <si>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</si>
  <si>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</si>
  <si>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</si>
  <si>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</si>
  <si>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</si>
  <si>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</si>
  <si>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</si>
  <si>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</si>
  <si>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</si>
  <si>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</si>
  <si>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</si>
  <si>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</si>
  <si>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</si>
  <si>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</si>
  <si>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</si>
  <si>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</si>
  <si>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</si>
  <si>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</si>
  <si>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</si>
  <si>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</si>
  <si>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</si>
  <si>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</si>
  <si>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</si>
  <si>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</si>
  <si>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</si>
  <si>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</si>
  <si>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</si>
  <si>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</si>
  <si>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</si>
  <si>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</si>
  <si>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</si>
  <si>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</si>
  <si>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</si>
  <si>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</si>
  <si>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</si>
  <si>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</si>
  <si>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</si>
  <si>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</si>
  <si>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</si>
  <si>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</si>
  <si>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</si>
  <si>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</si>
  <si>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</si>
  <si>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</si>
  <si>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</si>
  <si>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</si>
  <si>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</si>
  <si>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</si>
  <si>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</si>
  <si>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</si>
  <si>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</si>
  <si>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</si>
  <si>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</si>
  <si>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</si>
  <si>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</si>
  <si>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</si>
  <si>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</si>
  <si>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</si>
  <si>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</si>
  <si>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</si>
  <si>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</si>
  <si>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</si>
  <si>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</si>
  <si>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</si>
  <si>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</si>
  <si>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</si>
  <si>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</si>
  <si>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</t>
  </si>
  <si>
    <t>2)</t>
  </si>
  <si>
    <t>Min Price</t>
  </si>
  <si>
    <t>Max Price</t>
  </si>
  <si>
    <t>Price Range</t>
  </si>
  <si>
    <t>4)</t>
  </si>
  <si>
    <t>Total price of all products  (SUM)</t>
  </si>
  <si>
    <t>Count of Products    (COUNT)</t>
  </si>
  <si>
    <t>Average price of products  (AVERAGE)</t>
  </si>
  <si>
    <t>Total Price for products in Electronics   (SUMIF)</t>
  </si>
  <si>
    <t xml:space="preserve">Products with price less than 100     (COUNTIF)  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</si>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</sst>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[$$-45C]#,##0"/>
    <numFmt numFmtId="166" formatCode="[$$-45C]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8"/>
  <sheetViews>
    <sheetView tabSelected="1" zoomScaleNormal="100" workbookViewId="0">
      <selection activeCell="D36" sqref="D36"/>
    </sheetView>
  </sheetViews>
  <sheetFormatPr defaultColWidth="12.6640625" defaultRowHeight="15" customHeight="1" x14ac:dyDescent="0.25"/>
  <cols>
    <col min="1" max="1" width="13.77734375" customWidth="1"/>
    <col min="2" max="2" width="14.109375" customWidth="1"/>
    <col min="3" max="3" width="12.6640625" customWidth="1"/>
    <col min="4" max="4" width="13.33203125" customWidth="1"/>
    <col min="5" max="6" width="12.6640625" customWidth="1"/>
    <col min="7" max="7" width="16.6640625" customWidth="1"/>
    <col min="8" max="8" width="8.21875" style="15" customWidth="1"/>
    <col min="9" max="9" width="12.109375" style="15" customWidth="1"/>
    <col min="10" max="10" width="12" style="1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114</v>
      </c>
      <c r="H1" s="16" t="s">
        <v>121</v>
      </c>
      <c r="I1" s="16" t="s">
        <v>122</v>
      </c>
      <c r="J1" s="16" t="s">
        <v>123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 t="shared" ref="G2:G33" si="0">IF(D2&gt;=500,"High price","Standard price")</f>
        <v>High price</v>
      </c>
      <c r="H2" s="20" t="str">
        <f t="shared" ref="H2:H33" si="1">LEFT(A2,2)</f>
        <v>28</v>
      </c>
      <c r="I2" s="17" t="str">
        <f t="shared" ref="I2:I33" si="2">RIGHT(A2,2)</f>
        <v>US</v>
      </c>
      <c r="J2" s="17" t="str">
        <f t="shared" ref="J2:J33" si="3"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si="0"/>
        <v>Standard price</v>
      </c>
      <c r="H3" s="21" t="str">
        <f t="shared" si="1"/>
        <v>15</v>
      </c>
      <c r="I3" s="18" t="str">
        <f t="shared" si="2"/>
        <v>US</v>
      </c>
      <c r="J3" s="18" t="str">
        <f t="shared" si="3"/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20" t="str">
        <f t="shared" si="1"/>
        <v>03</v>
      </c>
      <c r="I4" s="17" t="str">
        <f t="shared" si="2"/>
        <v>US</v>
      </c>
      <c r="J4" s="17" t="str">
        <f t="shared" si="3"/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21" t="str">
        <f t="shared" si="1"/>
        <v>11</v>
      </c>
      <c r="I5" s="18" t="str">
        <f t="shared" si="2"/>
        <v>US</v>
      </c>
      <c r="J5" s="18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20" t="str">
        <f t="shared" si="1"/>
        <v>22</v>
      </c>
      <c r="I6" s="17" t="str">
        <f t="shared" si="2"/>
        <v>US</v>
      </c>
      <c r="J6" s="17" t="str">
        <f t="shared" si="3"/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21" t="str">
        <f t="shared" si="1"/>
        <v>07</v>
      </c>
      <c r="I7" s="18" t="str">
        <f t="shared" si="2"/>
        <v>UK</v>
      </c>
      <c r="J7" s="18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20" t="str">
        <f t="shared" si="1"/>
        <v>19</v>
      </c>
      <c r="I8" s="17" t="str">
        <f t="shared" si="2"/>
        <v>UK</v>
      </c>
      <c r="J8" s="17" t="str">
        <f t="shared" si="3"/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21" t="str">
        <f t="shared" si="1"/>
        <v>23</v>
      </c>
      <c r="I9" s="18" t="str">
        <f t="shared" si="2"/>
        <v>UK</v>
      </c>
      <c r="J9" s="18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20" t="str">
        <f t="shared" si="1"/>
        <v>05</v>
      </c>
      <c r="I10" s="17" t="str">
        <f t="shared" si="2"/>
        <v>UK</v>
      </c>
      <c r="J10" s="17" t="str">
        <f t="shared" si="3"/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21" t="str">
        <f t="shared" si="1"/>
        <v>14</v>
      </c>
      <c r="I11" s="18" t="str">
        <f t="shared" si="2"/>
        <v>UK</v>
      </c>
      <c r="J11" s="18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20" t="str">
        <f t="shared" si="1"/>
        <v>17</v>
      </c>
      <c r="I12" s="17" t="str">
        <f t="shared" si="2"/>
        <v>IN</v>
      </c>
      <c r="J12" s="17" t="str">
        <f t="shared" si="3"/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21" t="str">
        <f t="shared" si="1"/>
        <v>25</v>
      </c>
      <c r="I13" s="18" t="str">
        <f t="shared" si="2"/>
        <v>AU</v>
      </c>
      <c r="J13" s="18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20" t="str">
        <f t="shared" si="1"/>
        <v>08</v>
      </c>
      <c r="I14" s="17" t="str">
        <f t="shared" si="2"/>
        <v>DE</v>
      </c>
      <c r="J14" s="17" t="str">
        <f t="shared" si="3"/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21" t="str">
        <f t="shared" si="1"/>
        <v>18</v>
      </c>
      <c r="I15" s="18" t="str">
        <f t="shared" si="2"/>
        <v>CA</v>
      </c>
      <c r="J15" s="18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20" t="str">
        <f t="shared" si="1"/>
        <v>16</v>
      </c>
      <c r="I16" s="17" t="str">
        <f t="shared" si="2"/>
        <v>ES</v>
      </c>
      <c r="J16" s="17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21" t="str">
        <f t="shared" si="1"/>
        <v>21</v>
      </c>
      <c r="I17" s="18" t="str">
        <f t="shared" si="2"/>
        <v>CA</v>
      </c>
      <c r="J17" s="18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20" t="str">
        <f t="shared" si="1"/>
        <v>20</v>
      </c>
      <c r="I18" s="17" t="str">
        <f t="shared" si="2"/>
        <v>CN</v>
      </c>
      <c r="J18" s="17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21" t="str">
        <f t="shared" si="1"/>
        <v>27</v>
      </c>
      <c r="I19" s="18" t="str">
        <f t="shared" si="2"/>
        <v>IT</v>
      </c>
      <c r="J19" s="18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20" t="str">
        <f t="shared" si="1"/>
        <v>01</v>
      </c>
      <c r="I20" s="17" t="str">
        <f t="shared" si="2"/>
        <v>UK</v>
      </c>
      <c r="J20" s="17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21" t="str">
        <f t="shared" si="1"/>
        <v>14</v>
      </c>
      <c r="I21" s="18" t="str">
        <f t="shared" si="2"/>
        <v>US</v>
      </c>
      <c r="J21" s="18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20" t="str">
        <f t="shared" si="1"/>
        <v>14</v>
      </c>
      <c r="I22" s="17" t="str">
        <f t="shared" si="2"/>
        <v>RU</v>
      </c>
      <c r="J22" s="17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21" t="str">
        <f t="shared" si="1"/>
        <v>09</v>
      </c>
      <c r="I23" s="18" t="str">
        <f t="shared" si="2"/>
        <v>CA</v>
      </c>
      <c r="J23" s="18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20" t="str">
        <f t="shared" si="1"/>
        <v>19</v>
      </c>
      <c r="I24" s="17" t="str">
        <f t="shared" si="2"/>
        <v>BR</v>
      </c>
      <c r="J24" s="17" t="str">
        <f t="shared" si="3"/>
        <v>JUL</v>
      </c>
    </row>
    <row r="25" spans="1:10" ht="15.75" customHeight="1" x14ac:dyDescent="0.25">
      <c r="A25" s="6" t="s">
        <v>90</v>
      </c>
      <c r="B25" s="6" t="s">
        <v>36</v>
      </c>
      <c r="C25" s="6" t="s">
        <v>91</v>
      </c>
      <c r="D25" s="6">
        <v>800</v>
      </c>
      <c r="E25" s="6">
        <v>45</v>
      </c>
      <c r="F25" s="6" t="s">
        <v>26</v>
      </c>
      <c r="G25" s="6" t="str">
        <f t="shared" si="0"/>
        <v>High price</v>
      </c>
      <c r="H25" s="20" t="str">
        <f t="shared" si="1"/>
        <v>29</v>
      </c>
      <c r="I25" s="17" t="str">
        <f t="shared" si="2"/>
        <v>CA</v>
      </c>
      <c r="J25" s="17" t="str">
        <f t="shared" si="3"/>
        <v>SEP</v>
      </c>
    </row>
    <row r="26" spans="1:10" ht="15.75" customHeight="1" x14ac:dyDescent="0.25">
      <c r="A26" s="7" t="s">
        <v>92</v>
      </c>
      <c r="B26" s="7" t="s">
        <v>76</v>
      </c>
      <c r="C26" s="7" t="s">
        <v>93</v>
      </c>
      <c r="D26" s="7">
        <v>130</v>
      </c>
      <c r="E26" s="7">
        <v>25</v>
      </c>
      <c r="F26" s="7" t="s">
        <v>30</v>
      </c>
      <c r="G26" s="7" t="str">
        <f t="shared" si="0"/>
        <v>Standard price</v>
      </c>
      <c r="H26" s="21" t="str">
        <f t="shared" si="1"/>
        <v>03</v>
      </c>
      <c r="I26" s="18" t="str">
        <f t="shared" si="2"/>
        <v>CA</v>
      </c>
      <c r="J26" s="18" t="str">
        <f t="shared" si="3"/>
        <v>JUN</v>
      </c>
    </row>
    <row r="27" spans="1:10" ht="15.75" customHeight="1" x14ac:dyDescent="0.25">
      <c r="A27" s="6" t="s">
        <v>94</v>
      </c>
      <c r="B27" s="6" t="s">
        <v>49</v>
      </c>
      <c r="C27" s="6" t="s">
        <v>95</v>
      </c>
      <c r="D27" s="6">
        <v>400</v>
      </c>
      <c r="E27" s="6">
        <v>40</v>
      </c>
      <c r="F27" s="6" t="s">
        <v>34</v>
      </c>
      <c r="G27" s="6" t="str">
        <f t="shared" si="0"/>
        <v>Standard price</v>
      </c>
      <c r="H27" s="20" t="str">
        <f t="shared" si="1"/>
        <v>11</v>
      </c>
      <c r="I27" s="17" t="str">
        <f t="shared" si="2"/>
        <v>CA</v>
      </c>
      <c r="J27" s="17" t="str">
        <f t="shared" si="3"/>
        <v>JUL</v>
      </c>
    </row>
    <row r="28" spans="1:10" ht="15.75" customHeight="1" x14ac:dyDescent="0.25">
      <c r="A28" s="7" t="s">
        <v>65</v>
      </c>
      <c r="B28" s="7" t="s">
        <v>43</v>
      </c>
      <c r="C28" s="7" t="s">
        <v>66</v>
      </c>
      <c r="D28" s="7">
        <v>230</v>
      </c>
      <c r="E28" s="7">
        <v>20</v>
      </c>
      <c r="F28" s="7" t="s">
        <v>26</v>
      </c>
      <c r="G28" s="7" t="str">
        <f t="shared" si="0"/>
        <v>Standard price</v>
      </c>
      <c r="H28" s="21" t="str">
        <f t="shared" si="1"/>
        <v>16</v>
      </c>
      <c r="I28" s="18" t="str">
        <f t="shared" si="2"/>
        <v>ES</v>
      </c>
      <c r="J28" s="18" t="str">
        <f t="shared" si="3"/>
        <v>APR</v>
      </c>
    </row>
    <row r="29" spans="1:10" ht="15.75" customHeight="1" x14ac:dyDescent="0.25">
      <c r="A29" s="6" t="s">
        <v>96</v>
      </c>
      <c r="B29" s="6" t="s">
        <v>97</v>
      </c>
      <c r="C29" s="6" t="s">
        <v>98</v>
      </c>
      <c r="D29" s="6">
        <v>60</v>
      </c>
      <c r="E29" s="6">
        <v>30</v>
      </c>
      <c r="F29" s="6" t="s">
        <v>30</v>
      </c>
      <c r="G29" s="6" t="str">
        <f t="shared" si="0"/>
        <v>Standard price</v>
      </c>
      <c r="H29" s="20" t="str">
        <f t="shared" si="1"/>
        <v>07</v>
      </c>
      <c r="I29" s="17" t="str">
        <f t="shared" si="2"/>
        <v>CA</v>
      </c>
      <c r="J29" s="17" t="str">
        <f t="shared" si="3"/>
        <v>MAR</v>
      </c>
    </row>
    <row r="30" spans="1:10" ht="15.75" customHeight="1" x14ac:dyDescent="0.25">
      <c r="A30" s="7" t="s">
        <v>99</v>
      </c>
      <c r="B30" s="7" t="s">
        <v>100</v>
      </c>
      <c r="C30" s="7" t="s">
        <v>101</v>
      </c>
      <c r="D30" s="7">
        <v>40</v>
      </c>
      <c r="E30" s="7">
        <v>10</v>
      </c>
      <c r="F30" s="7" t="s">
        <v>34</v>
      </c>
      <c r="G30" s="7" t="str">
        <f t="shared" si="0"/>
        <v>Standard price</v>
      </c>
      <c r="H30" s="21" t="str">
        <f t="shared" si="1"/>
        <v>13</v>
      </c>
      <c r="I30" s="18" t="str">
        <f t="shared" si="2"/>
        <v>CA</v>
      </c>
      <c r="J30" s="18" t="str">
        <f t="shared" si="3"/>
        <v>APR</v>
      </c>
    </row>
    <row r="31" spans="1:10" ht="15.75" customHeight="1" x14ac:dyDescent="0.25">
      <c r="A31" s="6" t="s">
        <v>102</v>
      </c>
      <c r="B31" s="6" t="s">
        <v>88</v>
      </c>
      <c r="C31" s="6" t="s">
        <v>103</v>
      </c>
      <c r="D31" s="6">
        <v>130</v>
      </c>
      <c r="E31" s="6">
        <v>5</v>
      </c>
      <c r="F31" s="6" t="s">
        <v>26</v>
      </c>
      <c r="G31" s="6" t="str">
        <f t="shared" si="0"/>
        <v>Standard price</v>
      </c>
      <c r="H31" s="20" t="str">
        <f t="shared" si="1"/>
        <v>24</v>
      </c>
      <c r="I31" s="17" t="str">
        <f t="shared" si="2"/>
        <v>CA</v>
      </c>
      <c r="J31" s="17" t="str">
        <f t="shared" si="3"/>
        <v>MAY</v>
      </c>
    </row>
    <row r="32" spans="1:10" ht="15.75" customHeight="1" x14ac:dyDescent="0.25">
      <c r="A32" s="7" t="s">
        <v>104</v>
      </c>
      <c r="B32" s="7" t="s">
        <v>105</v>
      </c>
      <c r="C32" s="7" t="s">
        <v>106</v>
      </c>
      <c r="D32" s="7">
        <v>50</v>
      </c>
      <c r="E32" s="7">
        <v>50</v>
      </c>
      <c r="F32" s="7" t="s">
        <v>30</v>
      </c>
      <c r="G32" s="7" t="str">
        <f t="shared" si="0"/>
        <v>Standard price</v>
      </c>
      <c r="H32" s="21" t="str">
        <f t="shared" si="1"/>
        <v>02</v>
      </c>
      <c r="I32" s="18" t="str">
        <f t="shared" si="2"/>
        <v>CA</v>
      </c>
      <c r="J32" s="18" t="str">
        <f t="shared" si="3"/>
        <v>DEC</v>
      </c>
    </row>
    <row r="33" spans="1:10" ht="15.75" customHeight="1" x14ac:dyDescent="0.25">
      <c r="A33" s="6" t="s">
        <v>107</v>
      </c>
      <c r="B33" s="6" t="s">
        <v>108</v>
      </c>
      <c r="C33" s="6" t="s">
        <v>109</v>
      </c>
      <c r="D33" s="6">
        <v>100</v>
      </c>
      <c r="E33" s="6">
        <v>20</v>
      </c>
      <c r="F33" s="6" t="s">
        <v>70</v>
      </c>
      <c r="G33" s="6" t="str">
        <f t="shared" si="0"/>
        <v>Standard price</v>
      </c>
      <c r="H33" s="20" t="str">
        <f t="shared" si="1"/>
        <v>09</v>
      </c>
      <c r="I33" s="17" t="str">
        <f t="shared" si="2"/>
        <v>FR</v>
      </c>
      <c r="J33" s="17" t="str">
        <f t="shared" si="3"/>
        <v>JUL</v>
      </c>
    </row>
    <row r="34" spans="1:10" ht="15.75" customHeight="1" x14ac:dyDescent="0.25"/>
    <row r="35" spans="1:10" ht="53.4" customHeight="1" x14ac:dyDescent="0.25">
      <c r="A35" s="11" t="s">
        <v>110</v>
      </c>
      <c r="B35" s="12" t="s">
        <v>116</v>
      </c>
      <c r="C35" s="11" t="s">
        <v>117</v>
      </c>
      <c r="D35" s="11" t="s">
        <v>118</v>
      </c>
      <c r="G35" s="11"/>
      <c r="H35" s="11"/>
      <c r="I35" s="11"/>
      <c r="J35" s="11"/>
    </row>
    <row r="36" spans="1:10" ht="18" customHeight="1" x14ac:dyDescent="0.25">
      <c r="A36" s="11"/>
      <c r="B36" s="22">
        <f>SUM(D2:D33)</f>
        <v>9100</v>
      </c>
      <c r="C36">
        <f>COUNTA(B2:B33)</f>
        <v>32</v>
      </c>
      <c r="D36" s="23">
        <f>AVERAGE(D2:D33)</f>
        <v>284.375</v>
      </c>
    </row>
    <row r="37" spans="1:10" s="8" customFormat="1" ht="13.2" x14ac:dyDescent="0.25">
      <c r="H37" s="13"/>
      <c r="I37" s="13"/>
      <c r="J37" s="13"/>
    </row>
    <row r="38" spans="1:10" ht="15.75" customHeight="1" x14ac:dyDescent="0.25">
      <c r="A38" s="14" t="s">
        <v>111</v>
      </c>
      <c r="B38" s="14" t="s">
        <v>112</v>
      </c>
      <c r="C38" s="14" t="s">
        <v>113</v>
      </c>
      <c r="G38" s="14"/>
      <c r="H38" s="14"/>
      <c r="I38" s="14"/>
      <c r="J38" s="14"/>
    </row>
    <row r="39" spans="1:10" ht="16.2" customHeight="1" x14ac:dyDescent="0.25">
      <c r="A39" s="10"/>
      <c r="B39" s="22">
        <f>MIN(D2:D33)</f>
        <v>30</v>
      </c>
      <c r="C39" s="22">
        <f>MAX(D2:D33)</f>
        <v>1000</v>
      </c>
      <c r="G39" s="9"/>
      <c r="H39" s="19"/>
      <c r="I39" s="19"/>
      <c r="J39" s="19"/>
    </row>
    <row r="40" spans="1:10" ht="15.75" customHeight="1" x14ac:dyDescent="0.25"/>
    <row r="41" spans="1:10" ht="57" customHeight="1" x14ac:dyDescent="0.25">
      <c r="A41" s="14" t="s">
        <v>115</v>
      </c>
      <c r="B41" s="11" t="s">
        <v>119</v>
      </c>
      <c r="C41" s="11" t="s">
        <v>120</v>
      </c>
      <c r="G41" s="11"/>
      <c r="H41" s="11"/>
      <c r="I41" s="11"/>
      <c r="J41" s="11"/>
    </row>
    <row r="42" spans="1:10" ht="15.75" customHeight="1" x14ac:dyDescent="0.25">
      <c r="B42" s="22">
        <f>SUMIF(F2:F33,"Electronics",D2:D33)</f>
        <v>7100</v>
      </c>
      <c r="C42">
        <f>COUNTIF(D2:D33,"&lt;100")</f>
        <v>10</v>
      </c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A7" sqref="A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6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Masthabanu S</cp:lastModifiedBy>
  <dcterms:modified xsi:type="dcterms:W3CDTF">2025-12-31T09:45:30Z</dcterms:modified>
</cp:coreProperties>
</file>