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sth\Downloads\"/>
    </mc:Choice>
  </mc:AlternateContent>
  <xr:revisionPtr revIDLastSave="0" documentId="13_ncr:1_{73514ACA-66FC-49CA-B513-83F320AA73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 Cleaning" sheetId="5" r:id="rId3"/>
    <sheet name="Data Cleaned" sheetId="6" r:id="rId4"/>
  </sheets>
  <definedNames>
    <definedName name="_xlnm._FilterDatabase" localSheetId="2" hidden="1">'Data Cleaning'!$A$1:$K$32</definedName>
    <definedName name="_xlnm._FilterDatabase" localSheetId="1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2" i="5" l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K2" i="5"/>
</calcChain>
</file>

<file path=xl/sharedStrings.xml><?xml version="1.0" encoding="utf-8"?>
<sst xmlns="http://schemas.openxmlformats.org/spreadsheetml/2006/main" count="449" uniqueCount="194">
  <si>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</si>
  <si>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</si>
  <si>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</si>
  <si>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</si>
  <si>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</si>
  <si>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</si>
  <si>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</si>
  <si>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</si>
  <si>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</si>
  <si>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</si>
  <si>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</si>
  <si>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</si>
  <si>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</si>
  <si>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</si>
  <si>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</si>
  <si>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</si>
  <si>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</si>
  <si>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</si>
  <si>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</si>
  <si>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</si>
  <si>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</si>
  <si>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</si>
  <si>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</si>
  <si>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</si>
  <si>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</si>
  <si>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</si>
  <si>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</si>
  <si>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</si>
  <si>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</si>
  <si>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</si>
  <si>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</si>
  <si>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</si>
  <si>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</si>
  <si>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</si>
  <si>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</si>
  <si>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</si>
  <si>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</si>
  <si>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</si>
  <si>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</si>
  <si>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</si>
  <si>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</si>
  <si>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</si>
  <si>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</si>
  <si>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</si>
  <si>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</si>
  <si>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</si>
  <si>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</si>
  <si>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</si>
  <si>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</si>
  <si>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</si>
  <si>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</si>
  <si>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</si>
  <si>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</si>
  <si>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</si>
  <si>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</si>
  <si>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</si>
  <si>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</si>
  <si>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</si>
  <si>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</si>
  <si>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</si>
  <si>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</si>
  <si>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</si>
  <si>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</si>
  <si>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</si>
  <si>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</si>
  <si>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</si>
  <si>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</si>
  <si>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</si>
  <si>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</si>
  <si>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</si>
  <si>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</si>
  <si>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</si>
  <si>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</si>
  <si>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</si>
  <si>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</si>
  <si>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</si>
  <si>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</si>
  <si>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</si>
  <si>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</si>
  <si>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</si>
  <si>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</si>
  <si>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</si>
  <si>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</si>
  <si>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</si>
  <si>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</si>
  <si>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</si>
  <si>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</si>
  <si>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</si>
  <si>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</si>
  <si>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</si>
  <si>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</si>
  <si>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</si>
  <si>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</si>
  <si>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</si>
  <si>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</si>
  <si>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</si>
  <si>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</si>
  <si>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</si>
  <si>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</si>
  <si>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</si>
  <si>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</si>
  <si>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</si>
  <si>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</si>
  <si>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</si>
  <si>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</si>
  <si>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</si>
  <si>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</si>
  <si>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</si>
  <si>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</si>
  <si>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</si>
  <si>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</si>
  <si>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</si>
  <si>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</si>
  <si>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</si>
  <si>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</si>
  <si>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</si>
  <si>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</si>
  <si>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</si>
  <si>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</si>
  <si>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</si>
  <si>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</si>
  <si>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</si>
  <si>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</si>
  <si>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</si>
  <si>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</si>
  <si>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</si>
  <si>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</si>
  <si>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</si>
  <si>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</si>
  <si>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</si>
  <si>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Dell Laptop</t>
  </si>
  <si>
    <t>Nike Sneakers</t>
  </si>
  <si>
    <t>Keurig Coffee Maker</t>
  </si>
  <si>
    <t>Samsung Smartphone</t>
  </si>
  <si>
    <t>North Face Backpack</t>
  </si>
  <si>
    <t>Sony Headphones</t>
  </si>
  <si>
    <t>Adidas T-shirt</t>
  </si>
  <si>
    <t>Ninja Blender</t>
  </si>
  <si>
    <t>Apple Tablet</t>
  </si>
  <si>
    <t>Timberland Hiking Boots</t>
  </si>
  <si>
    <t>HP Laptop</t>
  </si>
  <si>
    <t>Adidas Sneakers</t>
  </si>
  <si>
    <t>Nespresso Coffee Maker</t>
  </si>
  <si>
    <t>Fitbit Smartwatch</t>
  </si>
  <si>
    <t>Bose Headphones</t>
  </si>
  <si>
    <t>Samsonite Laptop Bag</t>
  </si>
  <si>
    <t>Huawei Smartwatch</t>
  </si>
  <si>
    <t>Asus Laptop</t>
  </si>
  <si>
    <t>Oakley Sunglasses</t>
  </si>
  <si>
    <t>Coleman Camping Tent</t>
  </si>
  <si>
    <t>Nikon Camera</t>
  </si>
  <si>
    <t>Panasonic Microwave</t>
  </si>
  <si>
    <t>Xiaomi Fitness Tracker</t>
  </si>
  <si>
    <t>Google Smartphone</t>
  </si>
  <si>
    <t>Ray-Ban Sunglasses</t>
  </si>
  <si>
    <t>Zara Dress</t>
  </si>
  <si>
    <t>Hamilton Toaster</t>
  </si>
  <si>
    <t>Garmin Fitness Tracker</t>
  </si>
  <si>
    <t>Levi's Jeans</t>
  </si>
  <si>
    <t>Casio Watch</t>
  </si>
  <si>
    <t>Manufacturing Date</t>
  </si>
  <si>
    <t>Vitamix Blender</t>
  </si>
  <si>
    <t>Price($)</t>
  </si>
  <si>
    <t>Category2</t>
  </si>
  <si>
    <t>28-01-2026</t>
  </si>
  <si>
    <t>15-02-2026</t>
  </si>
  <si>
    <t>03-03-2026</t>
  </si>
  <si>
    <t>11-04-2026</t>
  </si>
  <si>
    <t>22-05-2026</t>
  </si>
  <si>
    <t>07-06-2026</t>
  </si>
  <si>
    <t>19-07-2026</t>
  </si>
  <si>
    <t>23-08-2026</t>
  </si>
  <si>
    <t>05-09-2026</t>
  </si>
  <si>
    <t>14-10-2026</t>
  </si>
  <si>
    <t>17-06-2026</t>
  </si>
  <si>
    <t>25-11-2026</t>
  </si>
  <si>
    <t>08-12-2026</t>
  </si>
  <si>
    <t>18-02-2026</t>
  </si>
  <si>
    <t>16-04-2026</t>
  </si>
  <si>
    <t>21-08-2026</t>
  </si>
  <si>
    <t>20-08-2026</t>
  </si>
  <si>
    <t>27-01-2026</t>
  </si>
  <si>
    <t>01-03-2026</t>
  </si>
  <si>
    <t>14-08-2026</t>
  </si>
  <si>
    <t>14-05-2026</t>
  </si>
  <si>
    <t>09-01-2026</t>
  </si>
  <si>
    <t>29-09-2026</t>
  </si>
  <si>
    <t>03-06-2026</t>
  </si>
  <si>
    <t>11-07-2026</t>
  </si>
  <si>
    <t>07-03-2026</t>
  </si>
  <si>
    <t>13-04-2026</t>
  </si>
  <si>
    <t>24-05-2026</t>
  </si>
  <si>
    <t>02-12-2026</t>
  </si>
  <si>
    <t>09-07-2026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</si>
</sst>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$-409]#,##0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39997558519241921"/>
        <bgColor rgb="FF4DD0E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165" fontId="5" fillId="0" borderId="0" xfId="0" applyNumberFormat="1" applyFont="1"/>
    <xf numFmtId="165" fontId="5" fillId="3" borderId="0" xfId="0" applyNumberFormat="1" applyFont="1" applyFill="1"/>
    <xf numFmtId="165" fontId="0" fillId="0" borderId="0" xfId="0" applyNumberFormat="1"/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0" fillId="4" borderId="0" xfId="0" applyFont="1" applyFill="1" applyAlignment="1">
      <alignment horizontal="center"/>
    </xf>
    <xf numFmtId="0" fontId="5" fillId="0" borderId="2" xfId="0" applyFont="1" applyBorder="1"/>
    <xf numFmtId="0" fontId="5" fillId="3" borderId="2" xfId="0" applyFont="1" applyFill="1" applyBorder="1"/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0" borderId="2" xfId="0" applyFont="1" applyBorder="1"/>
    <xf numFmtId="0" fontId="9" fillId="3" borderId="2" xfId="0" applyFont="1" applyFill="1" applyBorder="1"/>
    <xf numFmtId="0" fontId="13" fillId="0" borderId="1" xfId="0" applyFont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1" xfId="0" applyNumberFormat="1" applyBorder="1"/>
    <xf numFmtId="14" fontId="5" fillId="0" borderId="0" xfId="0" applyNumberFormat="1" applyFont="1" applyAlignment="1">
      <alignment horizontal="center" vertical="center"/>
    </xf>
    <xf numFmtId="0" fontId="12" fillId="5" borderId="3" xfId="0" applyFont="1" applyFill="1" applyBorder="1" applyAlignment="1">
      <alignment horizontal="center"/>
    </xf>
    <xf numFmtId="14" fontId="15" fillId="6" borderId="1" xfId="0" applyNumberFormat="1" applyFont="1" applyFill="1" applyBorder="1" applyAlignment="1">
      <alignment horizontal="left"/>
    </xf>
    <xf numFmtId="14" fontId="15" fillId="0" borderId="1" xfId="0" applyNumberFormat="1" applyFont="1" applyBorder="1" applyAlignment="1">
      <alignment horizontal="left"/>
    </xf>
  </cellXfs>
  <cellStyles count="1">
    <cellStyle name="Normal" xfId="0" builtinId="0"/>
  </cellStyles>
  <dxfs count="20">
    <dxf>
      <font>
        <color theme="2"/>
      </font>
      <fill>
        <patternFill>
          <bgColor theme="9" tint="-0.499984740745262"/>
        </patternFill>
      </fill>
    </dxf>
    <dxf>
      <font>
        <color theme="2"/>
      </font>
      <fill>
        <patternFill>
          <bgColor theme="4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F800]dddd\,\ mmmm\ dd\,\ yyyy"/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$-409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fill>
        <patternFill patternType="solid">
          <fgColor rgb="FF4DD0E1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1C3948-82CA-4C07-8297-E8B071DF2279}" name="Table3" displayName="Table3" ref="A1:K32" totalsRowShown="0" headerRowDxfId="19">
  <autoFilter ref="A1:K32" xr:uid="{93176104-80F1-479B-9595-6C48AF2EBCD8}"/>
  <tableColumns count="11">
    <tableColumn id="1" xr3:uid="{1F519E64-1816-432C-9109-E8CF129B1239}" name="Product ID" dataDxfId="18"/>
    <tableColumn id="2" xr3:uid="{C4D43FDA-064D-4169-8D71-47B5B80153DE}" name="Product Name" dataDxfId="17"/>
    <tableColumn id="3" xr3:uid="{CD512A91-6674-4396-A5BD-7B44A6F029B4}" name="Brand Name" dataDxfId="16"/>
    <tableColumn id="4" xr3:uid="{051B48DC-2557-423E-A0D6-2C0EE54C5DB5}" name="Price ($)" dataDxfId="15"/>
    <tableColumn id="5" xr3:uid="{D5249771-8167-4911-B5CC-EFEE01391C74}" name="Quantity" dataDxfId="14"/>
    <tableColumn id="19" xr3:uid="{6437B637-B82C-4674-B3E0-8C999516C037}" name="Category" dataDxfId="13"/>
    <tableColumn id="13" xr3:uid="{F9780156-E08A-4165-AF15-5ED9F46A1E77}" name="Price($)" dataDxfId="12">
      <calculatedColumnFormula>IF(ISBLANK(D2),AVERAGEIF($H$2:$H$32,H2,$D$2:$D$32),D2)</calculatedColumnFormula>
    </tableColumn>
    <tableColumn id="6" xr3:uid="{3B812439-7D84-4982-ADA7-623C0F5ADD86}" name="Category2" dataDxfId="11"/>
    <tableColumn id="8" xr3:uid="{EB394F46-8BCA-4F31-8F1A-2B7FC35AA4DD}" name="Manufacturing Date" dataDxfId="10">
      <calculatedColumnFormula>TEXT(LEFT(A2,6),"DD-MM-YYYY")</calculatedColumnFormula>
    </tableColumn>
    <tableColumn id="11" xr3:uid="{BDAA4965-CF81-4BAE-8698-55A6A1582666}" name="Country Code" dataDxfId="9">
      <calculatedColumnFormula>RIGHT(A2,2)</calculatedColumnFormula>
    </tableColumn>
    <tableColumn id="12" xr3:uid="{B18FB98C-0BE2-4F66-9B82-7BAC95187B70}" name="Product Brand" dataDxfId="8">
      <calculatedColumnFormula>CONCATENATE(C2," ",B2)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53171-58B6-49FA-A606-0F2229A281BD}" name="Table1" displayName="Table1" ref="B1:F32" totalsRowShown="0" headerRowDxfId="7">
  <autoFilter ref="B1:F32" xr:uid="{7C753171-58B6-49FA-A606-0F2229A281BD}"/>
  <tableColumns count="5">
    <tableColumn id="2" xr3:uid="{F0D1BA73-5230-46D2-B377-435FBBAEF659}" name="Country Code" dataDxfId="6"/>
    <tableColumn id="3" xr3:uid="{D84405EA-3A9B-40B9-8F25-ED3F7539FDC3}" name="Product Brand" dataDxfId="5"/>
    <tableColumn id="6" xr3:uid="{1CC3DE96-D1EA-4693-8110-E4CCE75226F2}" name="Price ($)" dataDxfId="4"/>
    <tableColumn id="5" xr3:uid="{1D3BCDB5-067E-4E7F-A75F-29629A0EC9D2}" name="Quantity" dataDxfId="3"/>
    <tableColumn id="4" xr3:uid="{798330B0-E5E3-4F35-A7CB-DD08F34A74A4}" name="Category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F7" sqref="F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opLeftCell="A12" workbookViewId="0">
      <selection activeCell="C36" sqref="C36"/>
    </sheetView>
  </sheetViews>
  <sheetFormatPr defaultColWidth="12.6640625" defaultRowHeight="15" customHeight="1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6640625" customWidth="1"/>
  </cols>
  <sheetData>
    <row r="1" spans="1:14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4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4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5"/>
      <c r="J3" s="5"/>
      <c r="K3" s="5"/>
      <c r="L3" s="5"/>
      <c r="M3" s="5"/>
      <c r="N3" s="5"/>
    </row>
    <row r="4" spans="1:14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5"/>
      <c r="K4" s="5"/>
      <c r="L4" s="5"/>
      <c r="M4" s="5"/>
      <c r="N4" s="5"/>
    </row>
    <row r="5" spans="1:14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5"/>
      <c r="K5" s="5"/>
      <c r="L5" s="5"/>
      <c r="M5" s="5"/>
      <c r="N5" s="5"/>
    </row>
    <row r="6" spans="1:14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4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4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4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4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4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4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4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4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4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4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6104-80F1-479B-9595-6C48AF2EBCD8}">
  <dimension ref="A1:M33"/>
  <sheetViews>
    <sheetView tabSelected="1" workbookViewId="0">
      <selection activeCell="L3" sqref="L3"/>
    </sheetView>
  </sheetViews>
  <sheetFormatPr defaultRowHeight="13.2" x14ac:dyDescent="0.25"/>
  <cols>
    <col min="1" max="1" width="15.109375" customWidth="1"/>
    <col min="2" max="2" width="18" bestFit="1" customWidth="1"/>
    <col min="3" max="3" width="16.21875" bestFit="1" customWidth="1"/>
    <col min="4" max="4" width="12.77734375" style="18" customWidth="1"/>
    <col min="5" max="5" width="12.88671875" bestFit="1" customWidth="1"/>
    <col min="6" max="6" width="13.44140625" bestFit="1" customWidth="1"/>
    <col min="7" max="7" width="13.77734375" customWidth="1"/>
    <col min="8" max="8" width="15.88671875" customWidth="1"/>
    <col min="9" max="9" width="22.6640625" bestFit="1" customWidth="1"/>
    <col min="10" max="10" width="17.77734375" bestFit="1" customWidth="1"/>
    <col min="11" max="11" width="26.21875" customWidth="1"/>
    <col min="12" max="12" width="16.44140625" bestFit="1" customWidth="1"/>
  </cols>
  <sheetData>
    <row r="1" spans="1:13" x14ac:dyDescent="0.25">
      <c r="A1" s="15" t="s">
        <v>19</v>
      </c>
      <c r="B1" s="14" t="s">
        <v>20</v>
      </c>
      <c r="C1" s="7" t="s">
        <v>21</v>
      </c>
      <c r="D1" s="7" t="s">
        <v>22</v>
      </c>
      <c r="E1" s="7" t="s">
        <v>23</v>
      </c>
      <c r="F1" s="15" t="s">
        <v>24</v>
      </c>
      <c r="G1" s="22" t="s">
        <v>162</v>
      </c>
      <c r="H1" s="14" t="s">
        <v>163</v>
      </c>
      <c r="I1" s="14" t="s">
        <v>160</v>
      </c>
      <c r="J1" s="14" t="s">
        <v>116</v>
      </c>
      <c r="K1" s="14" t="s">
        <v>129</v>
      </c>
    </row>
    <row r="2" spans="1:13" x14ac:dyDescent="0.25">
      <c r="A2" s="5" t="s">
        <v>25</v>
      </c>
      <c r="B2" s="5" t="s">
        <v>61</v>
      </c>
      <c r="C2" s="5" t="s">
        <v>27</v>
      </c>
      <c r="D2" s="5">
        <v>1000</v>
      </c>
      <c r="E2" s="5">
        <v>30</v>
      </c>
      <c r="F2" s="27" t="s">
        <v>28</v>
      </c>
      <c r="G2" s="16">
        <f t="shared" ref="G2:G32" si="0">IF(ISBLANK(D2),AVERAGEIF($H$2:$H$32,H2,$D$2:$D$32),D2)</f>
        <v>1000</v>
      </c>
      <c r="H2" s="19" t="s">
        <v>28</v>
      </c>
      <c r="I2" s="34" t="str">
        <f>TEXT(LEFT(A2,6),"DD-MM-YYYY")</f>
        <v>28-01-2026</v>
      </c>
      <c r="J2" s="25" t="str">
        <f t="shared" ref="J2:J32" si="1">RIGHT(A2,2)</f>
        <v>US</v>
      </c>
      <c r="K2" s="5" t="str">
        <f t="shared" ref="K2:K32" si="2">CONCATENATE(C2," ",B2)</f>
        <v>Dell Laptop</v>
      </c>
      <c r="L2" s="9"/>
      <c r="M2" s="9"/>
    </row>
    <row r="3" spans="1:13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24" t="s">
        <v>32</v>
      </c>
      <c r="G3" s="17">
        <f t="shared" si="0"/>
        <v>80</v>
      </c>
      <c r="H3" s="8" t="s">
        <v>32</v>
      </c>
      <c r="I3" s="13" t="str">
        <f t="shared" ref="I2:I32" si="3">TEXT(LEFT(A3,6),"DD-MM-YYYY")</f>
        <v>15-02-2026</v>
      </c>
      <c r="J3" s="26" t="str">
        <f t="shared" si="1"/>
        <v>US</v>
      </c>
      <c r="K3" s="8" t="str">
        <f t="shared" si="2"/>
        <v>Nike Sneakers</v>
      </c>
    </row>
    <row r="4" spans="1:13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23" t="s">
        <v>36</v>
      </c>
      <c r="G4" s="16">
        <f t="shared" si="0"/>
        <v>130</v>
      </c>
      <c r="H4" s="5" t="s">
        <v>36</v>
      </c>
      <c r="I4" s="12" t="str">
        <f t="shared" si="3"/>
        <v>03-03-2026</v>
      </c>
      <c r="J4" s="25" t="str">
        <f t="shared" si="1"/>
        <v>US</v>
      </c>
      <c r="K4" s="5" t="str">
        <f t="shared" si="2"/>
        <v>Keurig Coffee Maker</v>
      </c>
    </row>
    <row r="5" spans="1:13" x14ac:dyDescent="0.25">
      <c r="A5" s="8" t="s">
        <v>37</v>
      </c>
      <c r="B5" s="8" t="s">
        <v>96</v>
      </c>
      <c r="C5" s="8" t="s">
        <v>39</v>
      </c>
      <c r="D5" s="8">
        <v>900</v>
      </c>
      <c r="E5" s="8">
        <v>25</v>
      </c>
      <c r="F5" s="24" t="s">
        <v>28</v>
      </c>
      <c r="G5" s="17">
        <f t="shared" si="0"/>
        <v>900</v>
      </c>
      <c r="H5" s="8" t="s">
        <v>28</v>
      </c>
      <c r="I5" s="13" t="str">
        <f t="shared" si="3"/>
        <v>11-04-2026</v>
      </c>
      <c r="J5" s="26" t="str">
        <f t="shared" si="1"/>
        <v>US</v>
      </c>
      <c r="K5" s="8" t="str">
        <f t="shared" si="2"/>
        <v>Samsung Smartphone</v>
      </c>
    </row>
    <row r="6" spans="1:13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23"/>
      <c r="G6" s="16">
        <f t="shared" si="0"/>
        <v>70</v>
      </c>
      <c r="H6" s="5" t="s">
        <v>32</v>
      </c>
      <c r="I6" s="12" t="str">
        <f t="shared" si="3"/>
        <v>22-05-2026</v>
      </c>
      <c r="J6" s="25" t="str">
        <f t="shared" si="1"/>
        <v>US</v>
      </c>
      <c r="K6" s="5" t="str">
        <f t="shared" si="2"/>
        <v>North Face Backpack</v>
      </c>
    </row>
    <row r="7" spans="1:13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28" t="s">
        <v>46</v>
      </c>
      <c r="G7" s="17">
        <f t="shared" si="0"/>
        <v>555.83333333333337</v>
      </c>
      <c r="H7" s="8" t="s">
        <v>28</v>
      </c>
      <c r="I7" s="13" t="str">
        <f t="shared" si="3"/>
        <v>07-06-2026</v>
      </c>
      <c r="J7" s="26" t="str">
        <f t="shared" si="1"/>
        <v>UK</v>
      </c>
      <c r="K7" s="8" t="str">
        <f t="shared" si="2"/>
        <v>Sony Headphones</v>
      </c>
    </row>
    <row r="8" spans="1:13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23" t="s">
        <v>32</v>
      </c>
      <c r="G8" s="16">
        <f t="shared" si="0"/>
        <v>30</v>
      </c>
      <c r="H8" s="5" t="s">
        <v>32</v>
      </c>
      <c r="I8" s="12" t="str">
        <f t="shared" si="3"/>
        <v>19-07-2026</v>
      </c>
      <c r="J8" s="25" t="str">
        <f t="shared" si="1"/>
        <v>UK</v>
      </c>
      <c r="K8" s="5" t="str">
        <f t="shared" si="2"/>
        <v>Adidas T-shirt</v>
      </c>
    </row>
    <row r="9" spans="1:13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24" t="s">
        <v>36</v>
      </c>
      <c r="G9" s="17">
        <f t="shared" si="0"/>
        <v>90</v>
      </c>
      <c r="H9" s="8" t="s">
        <v>36</v>
      </c>
      <c r="I9" s="13" t="str">
        <f t="shared" si="3"/>
        <v>23-08-2026</v>
      </c>
      <c r="J9" s="26" t="str">
        <f t="shared" si="1"/>
        <v>UK</v>
      </c>
      <c r="K9" s="8" t="str">
        <f t="shared" si="2"/>
        <v>Ninja Blender</v>
      </c>
    </row>
    <row r="10" spans="1:13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23" t="s">
        <v>28</v>
      </c>
      <c r="G10" s="16">
        <f t="shared" si="0"/>
        <v>500</v>
      </c>
      <c r="H10" s="5" t="s">
        <v>28</v>
      </c>
      <c r="I10" s="12" t="str">
        <f t="shared" si="3"/>
        <v>05-09-2026</v>
      </c>
      <c r="J10" s="25" t="str">
        <f t="shared" si="1"/>
        <v>UK</v>
      </c>
      <c r="K10" s="5" t="str">
        <f t="shared" si="2"/>
        <v>Apple Tablet</v>
      </c>
    </row>
    <row r="11" spans="1:13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24" t="s">
        <v>59</v>
      </c>
      <c r="G11" s="17">
        <f t="shared" si="0"/>
        <v>130</v>
      </c>
      <c r="H11" s="8" t="s">
        <v>59</v>
      </c>
      <c r="I11" s="13" t="str">
        <f t="shared" si="3"/>
        <v>14-10-2026</v>
      </c>
      <c r="J11" s="26" t="str">
        <f t="shared" si="1"/>
        <v>UK</v>
      </c>
      <c r="K11" s="8" t="str">
        <f t="shared" si="2"/>
        <v>Timberland Hiking Boots</v>
      </c>
    </row>
    <row r="12" spans="1:13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23" t="s">
        <v>28</v>
      </c>
      <c r="G12" s="16">
        <f t="shared" si="0"/>
        <v>950</v>
      </c>
      <c r="H12" s="5" t="s">
        <v>28</v>
      </c>
      <c r="I12" s="12" t="str">
        <f t="shared" si="3"/>
        <v>17-06-2026</v>
      </c>
      <c r="J12" s="25" t="str">
        <f t="shared" si="1"/>
        <v>IN</v>
      </c>
      <c r="K12" s="5" t="str">
        <f t="shared" si="2"/>
        <v>HP Laptop</v>
      </c>
    </row>
    <row r="13" spans="1:13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24"/>
      <c r="G13" s="17">
        <f t="shared" si="0"/>
        <v>90</v>
      </c>
      <c r="H13" s="8" t="s">
        <v>32</v>
      </c>
      <c r="I13" s="13" t="str">
        <f t="shared" si="3"/>
        <v>25-11-2026</v>
      </c>
      <c r="J13" s="26" t="str">
        <f t="shared" si="1"/>
        <v>AU</v>
      </c>
      <c r="K13" s="8" t="str">
        <f t="shared" si="2"/>
        <v>Adidas Sneakers</v>
      </c>
    </row>
    <row r="14" spans="1:13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23"/>
      <c r="G14" s="16">
        <f t="shared" si="0"/>
        <v>120</v>
      </c>
      <c r="H14" s="5" t="s">
        <v>36</v>
      </c>
      <c r="I14" s="12" t="str">
        <f t="shared" si="3"/>
        <v>08-12-2026</v>
      </c>
      <c r="J14" s="25" t="str">
        <f t="shared" si="1"/>
        <v>DE</v>
      </c>
      <c r="K14" s="5" t="str">
        <f t="shared" si="2"/>
        <v>Nespresso Coffee Maker</v>
      </c>
    </row>
    <row r="15" spans="1:13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28" t="s">
        <v>46</v>
      </c>
      <c r="G15" s="17">
        <f t="shared" si="0"/>
        <v>150</v>
      </c>
      <c r="H15" s="8" t="s">
        <v>28</v>
      </c>
      <c r="I15" s="13" t="str">
        <f t="shared" si="3"/>
        <v>18-02-2026</v>
      </c>
      <c r="J15" s="26" t="str">
        <f t="shared" si="1"/>
        <v>CA</v>
      </c>
      <c r="K15" s="8" t="str">
        <f t="shared" si="2"/>
        <v>Fitbit Smartwatch</v>
      </c>
    </row>
    <row r="16" spans="1:13" x14ac:dyDescent="0.25">
      <c r="A16" s="5" t="s">
        <v>69</v>
      </c>
      <c r="B16" s="5" t="s">
        <v>44</v>
      </c>
      <c r="C16" s="5" t="s">
        <v>71</v>
      </c>
      <c r="D16" s="5">
        <v>250</v>
      </c>
      <c r="E16" s="5">
        <v>20</v>
      </c>
      <c r="F16" s="27" t="s">
        <v>46</v>
      </c>
      <c r="G16" s="16">
        <f t="shared" si="0"/>
        <v>250</v>
      </c>
      <c r="H16" s="5" t="s">
        <v>28</v>
      </c>
      <c r="I16" s="12" t="str">
        <f t="shared" si="3"/>
        <v>16-04-2026</v>
      </c>
      <c r="J16" s="25" t="str">
        <f t="shared" si="1"/>
        <v>ES</v>
      </c>
      <c r="K16" s="5" t="str">
        <f t="shared" si="2"/>
        <v>Bose Headphones</v>
      </c>
    </row>
    <row r="17" spans="1:1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24" t="s">
        <v>75</v>
      </c>
      <c r="G17" s="17">
        <f t="shared" si="0"/>
        <v>50</v>
      </c>
      <c r="H17" s="8" t="s">
        <v>75</v>
      </c>
      <c r="I17" s="13" t="str">
        <f t="shared" si="3"/>
        <v>21-08-2026</v>
      </c>
      <c r="J17" s="26" t="str">
        <f t="shared" si="1"/>
        <v>CA</v>
      </c>
      <c r="K17" s="8" t="str">
        <f t="shared" si="2"/>
        <v>Samsonite Laptop Bag</v>
      </c>
    </row>
    <row r="18" spans="1:1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27" t="s">
        <v>46</v>
      </c>
      <c r="G18" s="16">
        <f t="shared" si="0"/>
        <v>160</v>
      </c>
      <c r="H18" s="5" t="s">
        <v>28</v>
      </c>
      <c r="I18" s="12" t="str">
        <f t="shared" si="3"/>
        <v>20-08-2026</v>
      </c>
      <c r="J18" s="25" t="str">
        <f t="shared" si="1"/>
        <v>CN</v>
      </c>
      <c r="K18" s="5" t="str">
        <f t="shared" si="2"/>
        <v>Huawei Smartwatch</v>
      </c>
    </row>
    <row r="19" spans="1:11" x14ac:dyDescent="0.25">
      <c r="A19" s="8" t="s">
        <v>78</v>
      </c>
      <c r="B19" s="8" t="s">
        <v>61</v>
      </c>
      <c r="C19" s="8" t="s">
        <v>79</v>
      </c>
      <c r="D19" s="8">
        <v>980</v>
      </c>
      <c r="E19" s="8">
        <v>10</v>
      </c>
      <c r="F19" s="24" t="s">
        <v>28</v>
      </c>
      <c r="G19" s="17">
        <f t="shared" si="0"/>
        <v>980</v>
      </c>
      <c r="H19" s="8" t="s">
        <v>28</v>
      </c>
      <c r="I19" s="13" t="str">
        <f t="shared" si="3"/>
        <v>27-01-2026</v>
      </c>
      <c r="J19" s="26" t="str">
        <f t="shared" si="1"/>
        <v>IT</v>
      </c>
      <c r="K19" s="8" t="str">
        <f t="shared" si="2"/>
        <v>Asus Laptop</v>
      </c>
    </row>
    <row r="20" spans="1:1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23" t="s">
        <v>32</v>
      </c>
      <c r="G20" s="16">
        <f t="shared" si="0"/>
        <v>150</v>
      </c>
      <c r="H20" s="5" t="s">
        <v>32</v>
      </c>
      <c r="I20" s="12" t="str">
        <f t="shared" si="3"/>
        <v>01-03-2026</v>
      </c>
      <c r="J20" s="25" t="str">
        <f t="shared" si="1"/>
        <v>UK</v>
      </c>
      <c r="K20" s="5" t="str">
        <f t="shared" si="2"/>
        <v>Oakley Sunglasses</v>
      </c>
    </row>
    <row r="21" spans="1:1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24" t="s">
        <v>59</v>
      </c>
      <c r="G21" s="17">
        <f t="shared" si="0"/>
        <v>130</v>
      </c>
      <c r="H21" s="8" t="s">
        <v>59</v>
      </c>
      <c r="I21" s="13" t="str">
        <f t="shared" si="3"/>
        <v>14-08-2026</v>
      </c>
      <c r="J21" s="26" t="str">
        <f t="shared" si="1"/>
        <v>US</v>
      </c>
      <c r="K21" s="8" t="str">
        <f t="shared" si="2"/>
        <v>Coleman Camping Tent</v>
      </c>
    </row>
    <row r="22" spans="1:1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23" t="s">
        <v>28</v>
      </c>
      <c r="G22" s="16">
        <f t="shared" si="0"/>
        <v>700</v>
      </c>
      <c r="H22" s="5" t="s">
        <v>28</v>
      </c>
      <c r="I22" s="12" t="str">
        <f t="shared" si="3"/>
        <v>14-05-2026</v>
      </c>
      <c r="J22" s="25" t="str">
        <f t="shared" si="1"/>
        <v>RU</v>
      </c>
      <c r="K22" s="5" t="str">
        <f t="shared" si="2"/>
        <v>Nikon Camera</v>
      </c>
    </row>
    <row r="23" spans="1:1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24" t="s">
        <v>36</v>
      </c>
      <c r="G23" s="17">
        <f t="shared" si="0"/>
        <v>80</v>
      </c>
      <c r="H23" s="8" t="s">
        <v>36</v>
      </c>
      <c r="I23" s="13" t="str">
        <f t="shared" si="3"/>
        <v>09-01-2026</v>
      </c>
      <c r="J23" s="26" t="str">
        <f t="shared" si="1"/>
        <v>CA</v>
      </c>
      <c r="K23" s="8" t="str">
        <f t="shared" si="2"/>
        <v>Panasonic Microwave</v>
      </c>
    </row>
    <row r="24" spans="1:1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23"/>
      <c r="G24" s="16">
        <f t="shared" si="0"/>
        <v>150</v>
      </c>
      <c r="H24" s="5" t="s">
        <v>28</v>
      </c>
      <c r="I24" s="12" t="str">
        <f t="shared" si="3"/>
        <v>19-07-2026</v>
      </c>
      <c r="J24" s="25" t="str">
        <f t="shared" si="1"/>
        <v>BR</v>
      </c>
      <c r="K24" s="5" t="str">
        <f t="shared" si="2"/>
        <v>Xiaomi Fitness Tracker</v>
      </c>
    </row>
    <row r="25" spans="1:11" x14ac:dyDescent="0.25">
      <c r="A25" s="8" t="s">
        <v>95</v>
      </c>
      <c r="B25" s="8" t="s">
        <v>96</v>
      </c>
      <c r="C25" s="8" t="s">
        <v>97</v>
      </c>
      <c r="D25" s="8">
        <v>800</v>
      </c>
      <c r="E25" s="8">
        <v>45</v>
      </c>
      <c r="F25" s="24" t="s">
        <v>28</v>
      </c>
      <c r="G25" s="17">
        <f t="shared" si="0"/>
        <v>800</v>
      </c>
      <c r="H25" s="8" t="s">
        <v>28</v>
      </c>
      <c r="I25" s="13" t="str">
        <f t="shared" si="3"/>
        <v>29-09-2026</v>
      </c>
      <c r="J25" s="26" t="str">
        <f t="shared" si="1"/>
        <v>CA</v>
      </c>
      <c r="K25" s="8" t="str">
        <f t="shared" si="2"/>
        <v>Google Smartphone</v>
      </c>
    </row>
    <row r="26" spans="1:11" x14ac:dyDescent="0.25">
      <c r="A26" s="5" t="s">
        <v>98</v>
      </c>
      <c r="B26" s="5" t="s">
        <v>81</v>
      </c>
      <c r="C26" s="5" t="s">
        <v>99</v>
      </c>
      <c r="D26" s="5"/>
      <c r="E26" s="5">
        <v>25</v>
      </c>
      <c r="F26" s="23" t="s">
        <v>32</v>
      </c>
      <c r="G26" s="16">
        <f t="shared" si="0"/>
        <v>75.714285714285708</v>
      </c>
      <c r="H26" s="5" t="s">
        <v>32</v>
      </c>
      <c r="I26" s="12" t="str">
        <f t="shared" si="3"/>
        <v>03-06-2026</v>
      </c>
      <c r="J26" s="25" t="str">
        <f t="shared" si="1"/>
        <v>CA</v>
      </c>
      <c r="K26" s="5" t="str">
        <f t="shared" si="2"/>
        <v>Ray-Ban Sunglasses</v>
      </c>
    </row>
    <row r="27" spans="1:11" x14ac:dyDescent="0.25">
      <c r="A27" s="8" t="s">
        <v>100</v>
      </c>
      <c r="B27" s="8" t="s">
        <v>51</v>
      </c>
      <c r="C27" s="8" t="s">
        <v>101</v>
      </c>
      <c r="D27" s="8">
        <v>400</v>
      </c>
      <c r="E27" s="8">
        <v>40</v>
      </c>
      <c r="F27" s="24" t="s">
        <v>36</v>
      </c>
      <c r="G27" s="17">
        <f t="shared" si="0"/>
        <v>400</v>
      </c>
      <c r="H27" s="8" t="s">
        <v>36</v>
      </c>
      <c r="I27" s="13" t="str">
        <f t="shared" si="3"/>
        <v>11-07-2026</v>
      </c>
      <c r="J27" s="26" t="str">
        <f t="shared" si="1"/>
        <v>CA</v>
      </c>
      <c r="K27" s="8" t="str">
        <f t="shared" si="2"/>
        <v>Vitamix Blender</v>
      </c>
    </row>
    <row r="28" spans="1:1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23" t="s">
        <v>32</v>
      </c>
      <c r="G28" s="16">
        <f t="shared" si="0"/>
        <v>60</v>
      </c>
      <c r="H28" s="5" t="s">
        <v>32</v>
      </c>
      <c r="I28" s="12" t="str">
        <f t="shared" si="3"/>
        <v>07-03-2026</v>
      </c>
      <c r="J28" s="25" t="str">
        <f t="shared" si="1"/>
        <v>CA</v>
      </c>
      <c r="K28" s="5" t="str">
        <f t="shared" si="2"/>
        <v>Zara Dress</v>
      </c>
    </row>
    <row r="29" spans="1:1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24" t="s">
        <v>36</v>
      </c>
      <c r="G29" s="17">
        <f t="shared" si="0"/>
        <v>40</v>
      </c>
      <c r="H29" s="8" t="s">
        <v>36</v>
      </c>
      <c r="I29" s="13" t="str">
        <f t="shared" si="3"/>
        <v>13-04-2026</v>
      </c>
      <c r="J29" s="26" t="str">
        <f t="shared" si="1"/>
        <v>CA</v>
      </c>
      <c r="K29" s="8" t="str">
        <f t="shared" si="2"/>
        <v>Hamilton Toaster</v>
      </c>
    </row>
    <row r="30" spans="1:1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23" t="s">
        <v>28</v>
      </c>
      <c r="G30" s="16">
        <f t="shared" si="0"/>
        <v>130</v>
      </c>
      <c r="H30" s="5" t="s">
        <v>28</v>
      </c>
      <c r="I30" s="12" t="str">
        <f t="shared" si="3"/>
        <v>24-05-2026</v>
      </c>
      <c r="J30" s="25" t="str">
        <f t="shared" si="1"/>
        <v>CA</v>
      </c>
      <c r="K30" s="5" t="str">
        <f t="shared" si="2"/>
        <v>Garmin Fitness Tracker</v>
      </c>
    </row>
    <row r="31" spans="1:1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24" t="s">
        <v>32</v>
      </c>
      <c r="G31" s="17">
        <f t="shared" si="0"/>
        <v>50</v>
      </c>
      <c r="H31" s="8" t="s">
        <v>32</v>
      </c>
      <c r="I31" s="13" t="str">
        <f t="shared" si="3"/>
        <v>02-12-2026</v>
      </c>
      <c r="J31" s="26" t="str">
        <f t="shared" si="1"/>
        <v>CA</v>
      </c>
      <c r="K31" s="8" t="str">
        <f t="shared" si="2"/>
        <v>Levi's Jeans</v>
      </c>
    </row>
    <row r="32" spans="1:11" x14ac:dyDescent="0.25">
      <c r="A32" s="5" t="s">
        <v>113</v>
      </c>
      <c r="B32" s="5" t="s">
        <v>114</v>
      </c>
      <c r="C32" s="5" t="s">
        <v>115</v>
      </c>
      <c r="D32" s="5">
        <v>100</v>
      </c>
      <c r="E32" s="5">
        <v>20</v>
      </c>
      <c r="F32" s="23" t="s">
        <v>75</v>
      </c>
      <c r="G32" s="16">
        <f t="shared" si="0"/>
        <v>100</v>
      </c>
      <c r="H32" s="5" t="s">
        <v>75</v>
      </c>
      <c r="I32" s="12" t="str">
        <f t="shared" si="3"/>
        <v>09-07-2026</v>
      </c>
      <c r="J32" s="25" t="str">
        <f t="shared" si="1"/>
        <v>FR</v>
      </c>
      <c r="K32" s="5" t="str">
        <f t="shared" si="2"/>
        <v>Casio Watch</v>
      </c>
    </row>
    <row r="33" spans="9:9" x14ac:dyDescent="0.25">
      <c r="I33" s="9"/>
    </row>
  </sheetData>
  <phoneticPr fontId="14" type="noConversion"/>
  <conditionalFormatting sqref="G2:G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{B56BEC28-59A6-49A4-9243-826707A00193}</x14:id>
        </ext>
      </extLst>
    </cfRule>
  </conditionalFormatting>
  <conditionalFormatting sqref="H2:H32">
    <cfRule type="containsText" dxfId="1" priority="3" operator="containsText" text="Electronics">
      <formula>NOT(ISERROR(SEARCH("Electronics",H2)))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6BEC28-59A6-49A4-9243-826707A00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2ABA4-A054-4843-A930-F54BD2633F9F}">
  <dimension ref="A1:F32"/>
  <sheetViews>
    <sheetView workbookViewId="0">
      <selection activeCell="F1" sqref="F1"/>
    </sheetView>
  </sheetViews>
  <sheetFormatPr defaultRowHeight="13.2" x14ac:dyDescent="0.25"/>
  <cols>
    <col min="1" max="1" width="19.77734375" customWidth="1"/>
    <col min="2" max="2" width="17.88671875" customWidth="1"/>
    <col min="3" max="3" width="27.109375" customWidth="1"/>
    <col min="4" max="4" width="16.77734375" customWidth="1"/>
    <col min="5" max="5" width="15" customWidth="1"/>
    <col min="6" max="6" width="16.5546875" customWidth="1"/>
  </cols>
  <sheetData>
    <row r="1" spans="1:6" x14ac:dyDescent="0.25">
      <c r="A1" s="35" t="s">
        <v>160</v>
      </c>
      <c r="B1" s="11" t="s">
        <v>116</v>
      </c>
      <c r="C1" s="10" t="s">
        <v>129</v>
      </c>
      <c r="D1" s="10" t="s">
        <v>22</v>
      </c>
      <c r="E1" s="10" t="s">
        <v>23</v>
      </c>
      <c r="F1" s="10" t="s">
        <v>24</v>
      </c>
    </row>
    <row r="2" spans="1:6" x14ac:dyDescent="0.25">
      <c r="A2" s="36" t="s">
        <v>164</v>
      </c>
      <c r="B2" s="21" t="s">
        <v>117</v>
      </c>
      <c r="C2" s="29" t="s">
        <v>130</v>
      </c>
      <c r="D2" s="30">
        <v>1000</v>
      </c>
      <c r="E2" s="29">
        <v>30</v>
      </c>
      <c r="F2" s="29" t="s">
        <v>28</v>
      </c>
    </row>
    <row r="3" spans="1:6" x14ac:dyDescent="0.25">
      <c r="A3" s="37" t="s">
        <v>165</v>
      </c>
      <c r="B3" s="21" t="s">
        <v>117</v>
      </c>
      <c r="C3" s="31" t="s">
        <v>131</v>
      </c>
      <c r="D3" s="32">
        <v>80</v>
      </c>
      <c r="E3" s="31">
        <v>15</v>
      </c>
      <c r="F3" s="31" t="s">
        <v>32</v>
      </c>
    </row>
    <row r="4" spans="1:6" x14ac:dyDescent="0.25">
      <c r="A4" s="36" t="s">
        <v>166</v>
      </c>
      <c r="B4" s="21" t="s">
        <v>117</v>
      </c>
      <c r="C4" s="31" t="s">
        <v>132</v>
      </c>
      <c r="D4" s="32">
        <v>130</v>
      </c>
      <c r="E4" s="31">
        <v>40</v>
      </c>
      <c r="F4" s="31" t="s">
        <v>36</v>
      </c>
    </row>
    <row r="5" spans="1:6" x14ac:dyDescent="0.25">
      <c r="A5" s="37" t="s">
        <v>167</v>
      </c>
      <c r="B5" s="21" t="s">
        <v>117</v>
      </c>
      <c r="C5" s="31" t="s">
        <v>133</v>
      </c>
      <c r="D5" s="32">
        <v>900</v>
      </c>
      <c r="E5" s="31">
        <v>25</v>
      </c>
      <c r="F5" s="31" t="s">
        <v>28</v>
      </c>
    </row>
    <row r="6" spans="1:6" x14ac:dyDescent="0.25">
      <c r="A6" s="36" t="s">
        <v>168</v>
      </c>
      <c r="B6" s="21" t="s">
        <v>117</v>
      </c>
      <c r="C6" s="31" t="s">
        <v>134</v>
      </c>
      <c r="D6" s="32">
        <v>70</v>
      </c>
      <c r="E6" s="31">
        <v>20</v>
      </c>
      <c r="F6" s="31" t="s">
        <v>32</v>
      </c>
    </row>
    <row r="7" spans="1:6" x14ac:dyDescent="0.25">
      <c r="A7" s="37" t="s">
        <v>169</v>
      </c>
      <c r="B7" s="21" t="s">
        <v>118</v>
      </c>
      <c r="C7" s="31" t="s">
        <v>135</v>
      </c>
      <c r="D7" s="32">
        <v>555.83333333333337</v>
      </c>
      <c r="E7" s="31">
        <v>45</v>
      </c>
      <c r="F7" s="31" t="s">
        <v>28</v>
      </c>
    </row>
    <row r="8" spans="1:6" x14ac:dyDescent="0.25">
      <c r="A8" s="36" t="s">
        <v>170</v>
      </c>
      <c r="B8" s="21" t="s">
        <v>118</v>
      </c>
      <c r="C8" s="31" t="s">
        <v>136</v>
      </c>
      <c r="D8" s="32">
        <v>30</v>
      </c>
      <c r="E8" s="31">
        <v>5</v>
      </c>
      <c r="F8" s="31" t="s">
        <v>32</v>
      </c>
    </row>
    <row r="9" spans="1:6" x14ac:dyDescent="0.25">
      <c r="A9" s="37" t="s">
        <v>171</v>
      </c>
      <c r="B9" s="21" t="s">
        <v>118</v>
      </c>
      <c r="C9" s="31" t="s">
        <v>137</v>
      </c>
      <c r="D9" s="32">
        <v>90</v>
      </c>
      <c r="E9" s="31">
        <v>35</v>
      </c>
      <c r="F9" s="31" t="s">
        <v>36</v>
      </c>
    </row>
    <row r="10" spans="1:6" x14ac:dyDescent="0.25">
      <c r="A10" s="36" t="s">
        <v>172</v>
      </c>
      <c r="B10" s="21" t="s">
        <v>118</v>
      </c>
      <c r="C10" s="31" t="s">
        <v>138</v>
      </c>
      <c r="D10" s="32">
        <v>500</v>
      </c>
      <c r="E10" s="31">
        <v>50</v>
      </c>
      <c r="F10" s="31" t="s">
        <v>28</v>
      </c>
    </row>
    <row r="11" spans="1:6" x14ac:dyDescent="0.25">
      <c r="A11" s="37" t="s">
        <v>173</v>
      </c>
      <c r="B11" s="21" t="s">
        <v>118</v>
      </c>
      <c r="C11" s="31" t="s">
        <v>139</v>
      </c>
      <c r="D11" s="32">
        <v>130</v>
      </c>
      <c r="E11" s="31">
        <v>10</v>
      </c>
      <c r="F11" s="31" t="s">
        <v>59</v>
      </c>
    </row>
    <row r="12" spans="1:6" x14ac:dyDescent="0.25">
      <c r="A12" s="36" t="s">
        <v>174</v>
      </c>
      <c r="B12" s="21" t="s">
        <v>119</v>
      </c>
      <c r="C12" s="31" t="s">
        <v>140</v>
      </c>
      <c r="D12" s="32">
        <v>950</v>
      </c>
      <c r="E12" s="31">
        <v>25</v>
      </c>
      <c r="F12" s="31" t="s">
        <v>28</v>
      </c>
    </row>
    <row r="13" spans="1:6" x14ac:dyDescent="0.25">
      <c r="A13" s="37" t="s">
        <v>175</v>
      </c>
      <c r="B13" s="21" t="s">
        <v>120</v>
      </c>
      <c r="C13" s="31" t="s">
        <v>141</v>
      </c>
      <c r="D13" s="32">
        <v>90</v>
      </c>
      <c r="E13" s="31">
        <v>40</v>
      </c>
      <c r="F13" s="31" t="s">
        <v>32</v>
      </c>
    </row>
    <row r="14" spans="1:6" x14ac:dyDescent="0.25">
      <c r="A14" s="36" t="s">
        <v>176</v>
      </c>
      <c r="B14" s="21" t="s">
        <v>121</v>
      </c>
      <c r="C14" s="31" t="s">
        <v>142</v>
      </c>
      <c r="D14" s="32">
        <v>120</v>
      </c>
      <c r="E14" s="31">
        <v>35</v>
      </c>
      <c r="F14" s="31" t="s">
        <v>36</v>
      </c>
    </row>
    <row r="15" spans="1:6" x14ac:dyDescent="0.25">
      <c r="A15" s="37" t="s">
        <v>177</v>
      </c>
      <c r="B15" s="21" t="s">
        <v>122</v>
      </c>
      <c r="C15" s="31" t="s">
        <v>143</v>
      </c>
      <c r="D15" s="32">
        <v>150</v>
      </c>
      <c r="E15" s="31">
        <v>15</v>
      </c>
      <c r="F15" s="31" t="s">
        <v>28</v>
      </c>
    </row>
    <row r="16" spans="1:6" x14ac:dyDescent="0.25">
      <c r="A16" s="36" t="s">
        <v>178</v>
      </c>
      <c r="B16" s="21" t="s">
        <v>123</v>
      </c>
      <c r="C16" s="20" t="s">
        <v>144</v>
      </c>
      <c r="D16" s="33">
        <v>250</v>
      </c>
      <c r="E16" s="20">
        <v>20</v>
      </c>
      <c r="F16" s="20" t="s">
        <v>28</v>
      </c>
    </row>
    <row r="17" spans="1:6" x14ac:dyDescent="0.25">
      <c r="A17" s="37" t="s">
        <v>179</v>
      </c>
      <c r="B17" s="21" t="s">
        <v>122</v>
      </c>
      <c r="C17" s="20" t="s">
        <v>145</v>
      </c>
      <c r="D17" s="33">
        <v>50</v>
      </c>
      <c r="E17" s="20">
        <v>35</v>
      </c>
      <c r="F17" s="20" t="s">
        <v>75</v>
      </c>
    </row>
    <row r="18" spans="1:6" x14ac:dyDescent="0.25">
      <c r="A18" s="36" t="s">
        <v>180</v>
      </c>
      <c r="B18" s="21" t="s">
        <v>124</v>
      </c>
      <c r="C18" s="20" t="s">
        <v>146</v>
      </c>
      <c r="D18" s="33">
        <v>160</v>
      </c>
      <c r="E18" s="20">
        <v>15</v>
      </c>
      <c r="F18" s="20" t="s">
        <v>28</v>
      </c>
    </row>
    <row r="19" spans="1:6" x14ac:dyDescent="0.25">
      <c r="A19" s="37" t="s">
        <v>181</v>
      </c>
      <c r="B19" s="21" t="s">
        <v>125</v>
      </c>
      <c r="C19" s="20" t="s">
        <v>147</v>
      </c>
      <c r="D19" s="33">
        <v>980</v>
      </c>
      <c r="E19" s="20">
        <v>10</v>
      </c>
      <c r="F19" s="20" t="s">
        <v>28</v>
      </c>
    </row>
    <row r="20" spans="1:6" x14ac:dyDescent="0.25">
      <c r="A20" s="36" t="s">
        <v>182</v>
      </c>
      <c r="B20" s="21" t="s">
        <v>118</v>
      </c>
      <c r="C20" s="20" t="s">
        <v>148</v>
      </c>
      <c r="D20" s="33">
        <v>150</v>
      </c>
      <c r="E20" s="20">
        <v>15</v>
      </c>
      <c r="F20" s="20" t="s">
        <v>32</v>
      </c>
    </row>
    <row r="21" spans="1:6" x14ac:dyDescent="0.25">
      <c r="A21" s="37" t="s">
        <v>183</v>
      </c>
      <c r="B21" s="21" t="s">
        <v>117</v>
      </c>
      <c r="C21" s="20" t="s">
        <v>149</v>
      </c>
      <c r="D21" s="33">
        <v>130</v>
      </c>
      <c r="E21" s="20">
        <v>10</v>
      </c>
      <c r="F21" s="20" t="s">
        <v>59</v>
      </c>
    </row>
    <row r="22" spans="1:6" x14ac:dyDescent="0.25">
      <c r="A22" s="36" t="s">
        <v>184</v>
      </c>
      <c r="B22" s="21" t="s">
        <v>126</v>
      </c>
      <c r="C22" s="20" t="s">
        <v>150</v>
      </c>
      <c r="D22" s="33">
        <v>700</v>
      </c>
      <c r="E22" s="20">
        <v>50</v>
      </c>
      <c r="F22" s="20" t="s">
        <v>28</v>
      </c>
    </row>
    <row r="23" spans="1:6" x14ac:dyDescent="0.25">
      <c r="A23" s="37" t="s">
        <v>185</v>
      </c>
      <c r="B23" s="21" t="s">
        <v>122</v>
      </c>
      <c r="C23" s="20" t="s">
        <v>151</v>
      </c>
      <c r="D23" s="33">
        <v>80</v>
      </c>
      <c r="E23" s="20">
        <v>20</v>
      </c>
      <c r="F23" s="20" t="s">
        <v>36</v>
      </c>
    </row>
    <row r="24" spans="1:6" x14ac:dyDescent="0.25">
      <c r="A24" s="36" t="s">
        <v>170</v>
      </c>
      <c r="B24" s="21" t="s">
        <v>127</v>
      </c>
      <c r="C24" s="20" t="s">
        <v>152</v>
      </c>
      <c r="D24" s="33">
        <v>150</v>
      </c>
      <c r="E24" s="20">
        <v>30</v>
      </c>
      <c r="F24" s="20" t="s">
        <v>28</v>
      </c>
    </row>
    <row r="25" spans="1:6" x14ac:dyDescent="0.25">
      <c r="A25" s="37" t="s">
        <v>186</v>
      </c>
      <c r="B25" s="21" t="s">
        <v>122</v>
      </c>
      <c r="C25" s="20" t="s">
        <v>153</v>
      </c>
      <c r="D25" s="33">
        <v>800</v>
      </c>
      <c r="E25" s="20">
        <v>45</v>
      </c>
      <c r="F25" s="20" t="s">
        <v>28</v>
      </c>
    </row>
    <row r="26" spans="1:6" x14ac:dyDescent="0.25">
      <c r="A26" s="36" t="s">
        <v>187</v>
      </c>
      <c r="B26" s="21" t="s">
        <v>122</v>
      </c>
      <c r="C26" s="20" t="s">
        <v>154</v>
      </c>
      <c r="D26" s="33">
        <v>75.714285714285708</v>
      </c>
      <c r="E26" s="20">
        <v>25</v>
      </c>
      <c r="F26" s="20" t="s">
        <v>32</v>
      </c>
    </row>
    <row r="27" spans="1:6" x14ac:dyDescent="0.25">
      <c r="A27" s="37" t="s">
        <v>188</v>
      </c>
      <c r="B27" s="21" t="s">
        <v>122</v>
      </c>
      <c r="C27" s="20" t="s">
        <v>161</v>
      </c>
      <c r="D27" s="33">
        <v>400</v>
      </c>
      <c r="E27" s="20">
        <v>40</v>
      </c>
      <c r="F27" s="20" t="s">
        <v>36</v>
      </c>
    </row>
    <row r="28" spans="1:6" x14ac:dyDescent="0.25">
      <c r="A28" s="36" t="s">
        <v>189</v>
      </c>
      <c r="B28" s="21" t="s">
        <v>122</v>
      </c>
      <c r="C28" s="20" t="s">
        <v>155</v>
      </c>
      <c r="D28" s="33">
        <v>60</v>
      </c>
      <c r="E28" s="20">
        <v>30</v>
      </c>
      <c r="F28" s="20" t="s">
        <v>32</v>
      </c>
    </row>
    <row r="29" spans="1:6" x14ac:dyDescent="0.25">
      <c r="A29" s="37" t="s">
        <v>190</v>
      </c>
      <c r="B29" s="21" t="s">
        <v>122</v>
      </c>
      <c r="C29" s="20" t="s">
        <v>156</v>
      </c>
      <c r="D29" s="33">
        <v>40</v>
      </c>
      <c r="E29" s="20">
        <v>10</v>
      </c>
      <c r="F29" s="20" t="s">
        <v>36</v>
      </c>
    </row>
    <row r="30" spans="1:6" x14ac:dyDescent="0.25">
      <c r="A30" s="36" t="s">
        <v>191</v>
      </c>
      <c r="B30" s="21" t="s">
        <v>122</v>
      </c>
      <c r="C30" s="20" t="s">
        <v>157</v>
      </c>
      <c r="D30" s="33">
        <v>130</v>
      </c>
      <c r="E30" s="20">
        <v>5</v>
      </c>
      <c r="F30" s="20" t="s">
        <v>28</v>
      </c>
    </row>
    <row r="31" spans="1:6" x14ac:dyDescent="0.25">
      <c r="A31" s="37" t="s">
        <v>192</v>
      </c>
      <c r="B31" s="21" t="s">
        <v>122</v>
      </c>
      <c r="C31" s="20" t="s">
        <v>158</v>
      </c>
      <c r="D31" s="33">
        <v>50</v>
      </c>
      <c r="E31" s="20">
        <v>50</v>
      </c>
      <c r="F31" s="20" t="s">
        <v>32</v>
      </c>
    </row>
    <row r="32" spans="1:6" x14ac:dyDescent="0.25">
      <c r="A32" s="36" t="s">
        <v>193</v>
      </c>
      <c r="B32" s="21" t="s">
        <v>128</v>
      </c>
      <c r="C32" s="20" t="s">
        <v>159</v>
      </c>
      <c r="D32" s="33">
        <v>100</v>
      </c>
      <c r="E32" s="20">
        <v>20</v>
      </c>
      <c r="F32" s="20" t="s">
        <v>75</v>
      </c>
    </row>
  </sheetData>
  <phoneticPr fontId="11" type="noConversion"/>
  <conditionalFormatting sqref="D2:D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{13533F7F-D929-456A-A015-BC847A7BD338}</x14:id>
        </ext>
      </extLst>
    </cfRule>
  </conditionalFormatting>
  <conditionalFormatting sqref="F2:F32">
    <cfRule type="containsText" dxfId="0" priority="3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533F7F-D929-456A-A015-BC847A7BD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Data Cleaning</vt:lpstr>
      <vt:lpstr>Data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Masthabanu S</cp:lastModifiedBy>
  <dcterms:modified xsi:type="dcterms:W3CDTF">2026-01-09T08:07:22Z</dcterms:modified>
</cp:coreProperties>
</file>